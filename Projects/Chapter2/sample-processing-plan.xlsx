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solman/Documents/GitHub/PhD/Projects/Chapter2/"/>
    </mc:Choice>
  </mc:AlternateContent>
  <xr:revisionPtr revIDLastSave="0" documentId="13_ncr:1_{EC611EB4-4C96-9A4E-A30D-5A5C031F2DE9}" xr6:coauthVersionLast="36" xr6:coauthVersionMax="36" xr10:uidLastSave="{00000000-0000-0000-0000-000000000000}"/>
  <bookViews>
    <workbookView xWindow="0" yWindow="0" windowWidth="28800" windowHeight="18000" xr2:uid="{7BB86048-1BEE-1644-9060-44F16CC62A7B}"/>
  </bookViews>
  <sheets>
    <sheet name="Metadata" sheetId="1" r:id="rId1"/>
    <sheet name="PMA" sheetId="4" r:id="rId2"/>
    <sheet name="Sheet3" sheetId="3" r:id="rId3"/>
    <sheet name="Additional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1" l="1"/>
  <c r="K21" i="1"/>
  <c r="K22" i="1"/>
  <c r="K23" i="1"/>
  <c r="K24" i="1"/>
  <c r="K25" i="1"/>
  <c r="K29" i="1"/>
  <c r="K30" i="1"/>
  <c r="K31" i="1"/>
  <c r="K32" i="1"/>
  <c r="K33" i="1"/>
  <c r="K34" i="1"/>
  <c r="K35" i="1"/>
  <c r="K37" i="1"/>
  <c r="K3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" i="1"/>
</calcChain>
</file>

<file path=xl/sharedStrings.xml><?xml version="1.0" encoding="utf-8"?>
<sst xmlns="http://schemas.openxmlformats.org/spreadsheetml/2006/main" count="722" uniqueCount="151">
  <si>
    <t>Sample</t>
  </si>
  <si>
    <t>From</t>
  </si>
  <si>
    <t>Type</t>
  </si>
  <si>
    <t>Location</t>
  </si>
  <si>
    <t>16S/18S</t>
  </si>
  <si>
    <t>S21.10</t>
  </si>
  <si>
    <t>S21.11</t>
  </si>
  <si>
    <t>S21.12</t>
  </si>
  <si>
    <t>S21.13</t>
  </si>
  <si>
    <t>S21.14</t>
  </si>
  <si>
    <t>S21.16</t>
  </si>
  <si>
    <t>S21.15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</si>
  <si>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</si>
  <si>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</si>
  <si>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</si>
  <si>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</si>
  <si>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</si>
  <si>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</si>
  <si>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</si>
  <si>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</si>
  <si>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</si>
  <si>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</si>
  <si>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</si>
  <si>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</si>
  <si>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</si>
  <si>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</si>
  <si>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</si>
  <si>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Longitude</t>
  </si>
  <si>
    <t>Latitude</t>
  </si>
  <si>
    <t>Lower_Foxfonna_Glacier</t>
  </si>
  <si>
    <t>S21.17</t>
  </si>
  <si>
    <t>S21.18</t>
  </si>
  <si>
    <t>S21.19</t>
  </si>
  <si>
    <t>S21.20</t>
  </si>
  <si>
    <t>S21.21</t>
  </si>
  <si>
    <t>S21.23</t>
  </si>
  <si>
    <t>S21.22</t>
  </si>
  <si>
    <t>S21.24</t>
  </si>
  <si>
    <t>S21.25</t>
  </si>
  <si>
    <t>S21.26</t>
  </si>
  <si>
    <t>S21.27</t>
  </si>
  <si>
    <t>S21.28</t>
  </si>
  <si>
    <t>S21.30</t>
  </si>
  <si>
    <t>Snow</t>
  </si>
  <si>
    <t>Ice</t>
  </si>
  <si>
    <t>S21.31</t>
  </si>
  <si>
    <t>S21.29</t>
  </si>
  <si>
    <t>pH</t>
  </si>
  <si>
    <t>Blank_1</t>
  </si>
  <si>
    <t>Blank_2</t>
  </si>
  <si>
    <t>Blank_3</t>
  </si>
  <si>
    <t>NA</t>
  </si>
  <si>
    <t>Filtered_Volume_ml</t>
  </si>
  <si>
    <t>Field_Lab</t>
  </si>
  <si>
    <t>S21.02</t>
  </si>
  <si>
    <t>S21.08</t>
  </si>
  <si>
    <t>Drill Cylinder</t>
  </si>
  <si>
    <t>9cm diameter</t>
  </si>
  <si>
    <t>DOC</t>
  </si>
  <si>
    <t>Filter</t>
  </si>
  <si>
    <t>Broken</t>
  </si>
  <si>
    <t>Unbroken</t>
  </si>
  <si>
    <t>S21.01</t>
  </si>
  <si>
    <t>S21.03</t>
  </si>
  <si>
    <t>S21.04</t>
  </si>
  <si>
    <t>S21.05</t>
  </si>
  <si>
    <t>S21.06</t>
  </si>
  <si>
    <t>S21.07</t>
  </si>
  <si>
    <t>S21.09</t>
  </si>
  <si>
    <t>Weight_g</t>
  </si>
  <si>
    <t>Omics Filter</t>
  </si>
  <si>
    <t>Isopore 0.2um PC Membrane Filter 47mm</t>
  </si>
  <si>
    <t>Date</t>
  </si>
  <si>
    <t>Blank_4</t>
  </si>
  <si>
    <t>Blank_5</t>
  </si>
  <si>
    <t>Snow_Temp</t>
  </si>
  <si>
    <t>Conductivity_uS</t>
  </si>
  <si>
    <t>P16</t>
  </si>
  <si>
    <t>P17</t>
  </si>
  <si>
    <t>P18</t>
  </si>
  <si>
    <t>S21.32</t>
  </si>
  <si>
    <t>S21.33</t>
  </si>
  <si>
    <t>S21.34</t>
  </si>
  <si>
    <t>S21.35</t>
  </si>
  <si>
    <t>S21.36</t>
  </si>
  <si>
    <t>Activity or no?</t>
  </si>
  <si>
    <t>Pooled</t>
  </si>
  <si>
    <t>IC/ICP MS</t>
  </si>
  <si>
    <t>Amplicon Filter</t>
  </si>
  <si>
    <t>Substrate</t>
  </si>
  <si>
    <t>Snow Blank Lower Foxfonna for DOC</t>
  </si>
  <si>
    <t>Ice Blank Lower Foxfonna for DOC</t>
  </si>
  <si>
    <t>Comment</t>
  </si>
  <si>
    <t>Put in suitcase</t>
  </si>
  <si>
    <t>Sampling Point</t>
  </si>
  <si>
    <t>Snow for DOC</t>
  </si>
  <si>
    <t>Ice for DOC</t>
  </si>
  <si>
    <t xml:space="preserve">S21.33 </t>
  </si>
  <si>
    <t>S21.33 Extra</t>
  </si>
  <si>
    <t>P19</t>
  </si>
  <si>
    <t>S21.35 Extra</t>
  </si>
  <si>
    <t>For</t>
  </si>
  <si>
    <t>Microbiology and IC/ICP MA</t>
  </si>
  <si>
    <t>S21.37</t>
  </si>
  <si>
    <t>Yes</t>
  </si>
  <si>
    <t>pH Results</t>
  </si>
  <si>
    <t>pH/conductivity</t>
  </si>
  <si>
    <t>Conductivity Results</t>
  </si>
  <si>
    <t>Volume</t>
  </si>
  <si>
    <t>Sample inside?</t>
  </si>
  <si>
    <t>Sample melting/melted</t>
  </si>
  <si>
    <t>P20</t>
  </si>
  <si>
    <t>P21</t>
  </si>
  <si>
    <t>P22</t>
  </si>
  <si>
    <t>P23</t>
  </si>
  <si>
    <t>P24</t>
  </si>
  <si>
    <t>Upper_Foxfonna_Glacier</t>
  </si>
  <si>
    <t>S21.38</t>
  </si>
  <si>
    <t>S21.39</t>
  </si>
  <si>
    <t>S21.40</t>
  </si>
  <si>
    <t>S21.41</t>
  </si>
  <si>
    <t>S21.42</t>
  </si>
  <si>
    <t>S21.43</t>
  </si>
  <si>
    <t>S21.44</t>
  </si>
  <si>
    <t>S21.45</t>
  </si>
  <si>
    <t>S21.46</t>
  </si>
  <si>
    <t>S21.47</t>
  </si>
  <si>
    <t>S21.48</t>
  </si>
  <si>
    <t>DOC_Snow</t>
  </si>
  <si>
    <t>DOC_Ice</t>
  </si>
  <si>
    <t>IC</t>
  </si>
  <si>
    <t>IC PMS</t>
  </si>
  <si>
    <t>DNA/RNA</t>
  </si>
  <si>
    <t>Length_1_cm</t>
  </si>
  <si>
    <t>Length_mean_cm</t>
  </si>
  <si>
    <t>Length_2_cm</t>
  </si>
  <si>
    <t>Length_3_cm</t>
  </si>
  <si>
    <t>25.r2.b</t>
  </si>
  <si>
    <t>250ml melt rather than 500ml</t>
  </si>
  <si>
    <t>PMA NOTES</t>
  </si>
  <si>
    <t>250ml melt water was filtered through the sample rather than 500ml</t>
  </si>
  <si>
    <t xml:space="preserve"> </t>
  </si>
  <si>
    <t>Blank_6</t>
  </si>
  <si>
    <t>Blank_7</t>
  </si>
  <si>
    <t>ICPMS_SterileWater</t>
  </si>
  <si>
    <t>IC_SterileWater</t>
  </si>
  <si>
    <t>IC_MilliQ</t>
  </si>
  <si>
    <t>ICPMS_MilliQ</t>
  </si>
  <si>
    <t>Blank_8 MQ</t>
  </si>
  <si>
    <t xml:space="preserve">Blank_9 MQ </t>
  </si>
  <si>
    <t>Amplicon_Sterile_Water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</si>
</sst>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FF7F-87E8-5D4A-98E3-0CF974F9EA3F}">
  <dimension ref="A1:V58"/>
  <sheetViews>
    <sheetView tabSelected="1" workbookViewId="0">
      <selection activeCell="G15" sqref="G15"/>
    </sheetView>
  </sheetViews>
  <sheetFormatPr baseColWidth="10" defaultRowHeight="16" x14ac:dyDescent="0.2"/>
  <cols>
    <col min="1" max="1" width="10.83203125" bestFit="1" customWidth="1"/>
    <col min="2" max="2" width="11.6640625" bestFit="1" customWidth="1"/>
    <col min="5" max="5" width="12.6640625" bestFit="1" customWidth="1"/>
    <col min="6" max="6" width="21.6640625" bestFit="1" customWidth="1"/>
    <col min="7" max="7" width="18.1640625" bestFit="1" customWidth="1"/>
    <col min="8" max="10" width="12.1640625" bestFit="1" customWidth="1"/>
    <col min="11" max="11" width="15.83203125" bestFit="1" customWidth="1"/>
    <col min="12" max="12" width="21.83203125" bestFit="1" customWidth="1"/>
    <col min="13" max="13" width="11.33203125" bestFit="1" customWidth="1"/>
    <col min="14" max="14" width="5.1640625" bestFit="1" customWidth="1"/>
    <col min="15" max="15" width="14.6640625" bestFit="1" customWidth="1"/>
  </cols>
  <sheetData>
    <row r="1" spans="1:22" x14ac:dyDescent="0.2">
      <c r="A1" t="s">
        <v>72</v>
      </c>
      <c r="B1" t="s">
        <v>0</v>
      </c>
      <c r="C1" t="s">
        <v>1</v>
      </c>
      <c r="D1" t="s">
        <v>28</v>
      </c>
      <c r="E1" t="s">
        <v>27</v>
      </c>
      <c r="F1" t="s">
        <v>2</v>
      </c>
      <c r="G1" t="s">
        <v>52</v>
      </c>
      <c r="H1" t="s">
        <v>133</v>
      </c>
      <c r="I1" t="s">
        <v>135</v>
      </c>
      <c r="J1" t="s">
        <v>136</v>
      </c>
      <c r="K1" t="s">
        <v>134</v>
      </c>
      <c r="L1" t="s">
        <v>3</v>
      </c>
      <c r="M1" t="s">
        <v>75</v>
      </c>
      <c r="N1" t="s">
        <v>47</v>
      </c>
      <c r="O1" t="s">
        <v>76</v>
      </c>
      <c r="P1" t="s">
        <v>69</v>
      </c>
      <c r="Q1" t="s">
        <v>58</v>
      </c>
      <c r="R1" t="s">
        <v>59</v>
      </c>
      <c r="S1" t="s">
        <v>4</v>
      </c>
      <c r="T1" t="s">
        <v>130</v>
      </c>
      <c r="U1" t="s">
        <v>131</v>
      </c>
      <c r="V1" t="s">
        <v>132</v>
      </c>
    </row>
    <row r="2" spans="1:22" x14ac:dyDescent="0.2">
      <c r="A2" s="1">
        <v>44320</v>
      </c>
      <c r="B2" t="s">
        <v>62</v>
      </c>
      <c r="C2" t="s">
        <v>12</v>
      </c>
      <c r="D2">
        <v>78.136790000000005</v>
      </c>
      <c r="E2">
        <v>16.174130000000002</v>
      </c>
      <c r="F2" t="s">
        <v>43</v>
      </c>
      <c r="G2">
        <v>2250</v>
      </c>
      <c r="H2">
        <v>65</v>
      </c>
      <c r="K2">
        <f>AVERAGE(H2:J2)</f>
        <v>65</v>
      </c>
      <c r="L2" t="s">
        <v>29</v>
      </c>
      <c r="M2">
        <v>-1.9</v>
      </c>
      <c r="N2">
        <v>6.08</v>
      </c>
      <c r="O2">
        <v>13.5</v>
      </c>
      <c r="P2">
        <v>3053</v>
      </c>
      <c r="Q2" t="s">
        <v>104</v>
      </c>
      <c r="R2" t="s">
        <v>61</v>
      </c>
      <c r="S2" t="s">
        <v>104</v>
      </c>
    </row>
    <row r="3" spans="1:22" x14ac:dyDescent="0.2">
      <c r="A3" s="1">
        <v>44320</v>
      </c>
      <c r="B3" t="s">
        <v>54</v>
      </c>
      <c r="C3" t="s">
        <v>12</v>
      </c>
      <c r="D3">
        <v>78.136790000000005</v>
      </c>
      <c r="E3">
        <v>16.174130000000002</v>
      </c>
      <c r="F3" t="s">
        <v>44</v>
      </c>
      <c r="G3">
        <v>1225</v>
      </c>
      <c r="H3">
        <v>20</v>
      </c>
      <c r="K3">
        <f t="shared" ref="K3:K39" si="0">AVERAGE(H3:J3)</f>
        <v>20</v>
      </c>
      <c r="L3" t="s">
        <v>29</v>
      </c>
      <c r="M3">
        <v>-1.9</v>
      </c>
      <c r="N3">
        <v>6.3</v>
      </c>
      <c r="O3">
        <v>20.100000000000001</v>
      </c>
      <c r="P3" t="s">
        <v>51</v>
      </c>
      <c r="Q3" t="s">
        <v>104</v>
      </c>
      <c r="R3" t="s">
        <v>61</v>
      </c>
      <c r="S3" t="s">
        <v>104</v>
      </c>
    </row>
    <row r="4" spans="1:22" x14ac:dyDescent="0.2">
      <c r="A4" s="1">
        <v>44320</v>
      </c>
      <c r="B4" t="s">
        <v>63</v>
      </c>
      <c r="C4" t="s">
        <v>13</v>
      </c>
      <c r="D4">
        <v>78.136960000000002</v>
      </c>
      <c r="E4">
        <v>16.176279999999998</v>
      </c>
      <c r="F4" t="s">
        <v>43</v>
      </c>
      <c r="G4">
        <v>1425</v>
      </c>
      <c r="H4">
        <v>80</v>
      </c>
      <c r="K4">
        <f t="shared" si="0"/>
        <v>80</v>
      </c>
      <c r="L4" t="s">
        <v>29</v>
      </c>
      <c r="M4">
        <v>-2</v>
      </c>
      <c r="N4">
        <v>6.45</v>
      </c>
      <c r="O4">
        <v>13.6</v>
      </c>
      <c r="P4">
        <v>1665</v>
      </c>
      <c r="Q4" t="s">
        <v>104</v>
      </c>
      <c r="R4" t="s">
        <v>61</v>
      </c>
      <c r="S4" t="s">
        <v>104</v>
      </c>
    </row>
    <row r="5" spans="1:22" x14ac:dyDescent="0.2">
      <c r="A5" s="1">
        <v>44320</v>
      </c>
      <c r="B5" t="s">
        <v>64</v>
      </c>
      <c r="C5" t="s">
        <v>13</v>
      </c>
      <c r="D5">
        <v>78.136960000000002</v>
      </c>
      <c r="E5">
        <v>16.176279999999998</v>
      </c>
      <c r="F5" t="s">
        <v>44</v>
      </c>
      <c r="G5">
        <v>1125</v>
      </c>
      <c r="H5">
        <v>20</v>
      </c>
      <c r="K5">
        <f t="shared" si="0"/>
        <v>20</v>
      </c>
      <c r="L5" t="s">
        <v>29</v>
      </c>
      <c r="M5">
        <v>-2</v>
      </c>
      <c r="N5">
        <v>6.5</v>
      </c>
      <c r="O5">
        <v>12.8</v>
      </c>
      <c r="P5" t="s">
        <v>51</v>
      </c>
      <c r="Q5" t="s">
        <v>104</v>
      </c>
      <c r="R5" t="s">
        <v>61</v>
      </c>
      <c r="S5" t="s">
        <v>104</v>
      </c>
    </row>
    <row r="6" spans="1:22" x14ac:dyDescent="0.2">
      <c r="A6" s="1">
        <v>44320</v>
      </c>
      <c r="B6" t="s">
        <v>65</v>
      </c>
      <c r="C6" t="s">
        <v>14</v>
      </c>
      <c r="D6">
        <v>78.138530000000003</v>
      </c>
      <c r="E6">
        <v>16.174289999999999</v>
      </c>
      <c r="F6" t="s">
        <v>43</v>
      </c>
      <c r="G6">
        <v>2300</v>
      </c>
      <c r="H6">
        <v>85</v>
      </c>
      <c r="K6">
        <f t="shared" si="0"/>
        <v>85</v>
      </c>
      <c r="L6" t="s">
        <v>29</v>
      </c>
      <c r="M6">
        <v>-2</v>
      </c>
      <c r="N6">
        <v>5.7</v>
      </c>
      <c r="O6">
        <v>17.8</v>
      </c>
      <c r="P6">
        <v>2666</v>
      </c>
      <c r="Q6" t="s">
        <v>104</v>
      </c>
      <c r="R6" t="s">
        <v>61</v>
      </c>
      <c r="S6" t="s">
        <v>104</v>
      </c>
    </row>
    <row r="7" spans="1:22" x14ac:dyDescent="0.2">
      <c r="A7" s="1">
        <v>44320</v>
      </c>
      <c r="B7" t="s">
        <v>66</v>
      </c>
      <c r="C7" t="s">
        <v>14</v>
      </c>
      <c r="D7">
        <v>78.138530000000003</v>
      </c>
      <c r="E7">
        <v>16.174289999999999</v>
      </c>
      <c r="F7" t="s">
        <v>44</v>
      </c>
      <c r="G7">
        <v>1475</v>
      </c>
      <c r="H7">
        <v>20</v>
      </c>
      <c r="K7">
        <f t="shared" si="0"/>
        <v>20</v>
      </c>
      <c r="L7" t="s">
        <v>29</v>
      </c>
      <c r="M7">
        <v>-2</v>
      </c>
      <c r="N7">
        <v>5.23</v>
      </c>
      <c r="O7">
        <v>1.6</v>
      </c>
      <c r="P7" t="s">
        <v>51</v>
      </c>
      <c r="Q7" t="s">
        <v>104</v>
      </c>
      <c r="R7" t="s">
        <v>61</v>
      </c>
      <c r="S7" t="s">
        <v>104</v>
      </c>
    </row>
    <row r="8" spans="1:22" x14ac:dyDescent="0.2">
      <c r="A8" s="1">
        <v>44320</v>
      </c>
      <c r="B8" t="s">
        <v>67</v>
      </c>
      <c r="C8" t="s">
        <v>15</v>
      </c>
      <c r="D8">
        <v>78.138660000000002</v>
      </c>
      <c r="E8">
        <v>16.176380000000002</v>
      </c>
      <c r="F8" t="s">
        <v>43</v>
      </c>
      <c r="G8">
        <v>2300</v>
      </c>
      <c r="H8">
        <v>90</v>
      </c>
      <c r="K8">
        <f t="shared" si="0"/>
        <v>90</v>
      </c>
      <c r="L8" t="s">
        <v>29</v>
      </c>
      <c r="M8">
        <v>-3</v>
      </c>
      <c r="N8">
        <v>5.43</v>
      </c>
      <c r="O8">
        <v>8.6</v>
      </c>
      <c r="P8">
        <v>2671</v>
      </c>
      <c r="Q8" t="s">
        <v>104</v>
      </c>
      <c r="R8" t="s">
        <v>61</v>
      </c>
      <c r="S8" t="s">
        <v>104</v>
      </c>
    </row>
    <row r="9" spans="1:22" x14ac:dyDescent="0.2">
      <c r="A9" s="1">
        <v>44320</v>
      </c>
      <c r="B9" t="s">
        <v>55</v>
      </c>
      <c r="C9" t="s">
        <v>15</v>
      </c>
      <c r="D9">
        <v>78.138660000000002</v>
      </c>
      <c r="E9">
        <v>16.176380000000002</v>
      </c>
      <c r="F9" t="s">
        <v>44</v>
      </c>
      <c r="G9">
        <v>1400</v>
      </c>
      <c r="H9">
        <v>20</v>
      </c>
      <c r="K9">
        <f t="shared" si="0"/>
        <v>20</v>
      </c>
      <c r="L9" t="s">
        <v>29</v>
      </c>
      <c r="M9">
        <v>-3</v>
      </c>
      <c r="N9">
        <v>5.2</v>
      </c>
      <c r="O9">
        <v>1.6</v>
      </c>
      <c r="P9" t="s">
        <v>51</v>
      </c>
      <c r="Q9" t="s">
        <v>104</v>
      </c>
      <c r="R9" t="s">
        <v>60</v>
      </c>
      <c r="S9" t="s">
        <v>104</v>
      </c>
    </row>
    <row r="10" spans="1:22" x14ac:dyDescent="0.2">
      <c r="A10" s="1">
        <v>44320</v>
      </c>
      <c r="B10" t="s">
        <v>68</v>
      </c>
      <c r="C10" t="s">
        <v>16</v>
      </c>
      <c r="D10">
        <v>78.139529999999993</v>
      </c>
      <c r="E10">
        <v>16.156690000000001</v>
      </c>
      <c r="F10" t="s">
        <v>43</v>
      </c>
      <c r="G10">
        <v>1500</v>
      </c>
      <c r="H10">
        <v>105</v>
      </c>
      <c r="K10">
        <f t="shared" si="0"/>
        <v>105</v>
      </c>
      <c r="L10" t="s">
        <v>29</v>
      </c>
      <c r="M10">
        <v>-4</v>
      </c>
      <c r="N10">
        <v>5.44</v>
      </c>
      <c r="O10">
        <v>12.7</v>
      </c>
      <c r="P10">
        <v>2300</v>
      </c>
      <c r="Q10" t="s">
        <v>104</v>
      </c>
      <c r="R10" t="s">
        <v>60</v>
      </c>
      <c r="S10" t="s">
        <v>104</v>
      </c>
    </row>
    <row r="11" spans="1:22" x14ac:dyDescent="0.2">
      <c r="A11" s="1">
        <v>44320</v>
      </c>
      <c r="B11" t="s">
        <v>5</v>
      </c>
      <c r="C11" t="s">
        <v>16</v>
      </c>
      <c r="D11">
        <v>78.139529999999993</v>
      </c>
      <c r="E11">
        <v>16.156690000000001</v>
      </c>
      <c r="F11" t="s">
        <v>44</v>
      </c>
      <c r="G11">
        <v>1400</v>
      </c>
      <c r="H11">
        <v>20</v>
      </c>
      <c r="K11">
        <f t="shared" si="0"/>
        <v>20</v>
      </c>
      <c r="L11" t="s">
        <v>29</v>
      </c>
      <c r="M11">
        <v>-4</v>
      </c>
      <c r="N11">
        <v>5.15</v>
      </c>
      <c r="O11">
        <v>1.6</v>
      </c>
      <c r="P11" t="s">
        <v>51</v>
      </c>
      <c r="Q11" t="s">
        <v>104</v>
      </c>
      <c r="R11" t="s">
        <v>61</v>
      </c>
      <c r="S11" t="s">
        <v>104</v>
      </c>
    </row>
    <row r="12" spans="1:22" x14ac:dyDescent="0.2">
      <c r="A12" s="1">
        <v>44320</v>
      </c>
      <c r="B12" t="s">
        <v>6</v>
      </c>
      <c r="C12" t="s">
        <v>17</v>
      </c>
      <c r="D12">
        <v>78.13973</v>
      </c>
      <c r="E12">
        <v>16.15878</v>
      </c>
      <c r="F12" t="s">
        <v>43</v>
      </c>
      <c r="G12">
        <v>2100</v>
      </c>
      <c r="H12">
        <v>120</v>
      </c>
      <c r="K12">
        <f t="shared" si="0"/>
        <v>120</v>
      </c>
      <c r="L12" t="s">
        <v>29</v>
      </c>
      <c r="M12">
        <v>-5</v>
      </c>
      <c r="N12">
        <v>5.72</v>
      </c>
      <c r="O12">
        <v>13</v>
      </c>
      <c r="P12">
        <v>2929</v>
      </c>
      <c r="Q12" t="s">
        <v>104</v>
      </c>
      <c r="R12" t="s">
        <v>61</v>
      </c>
      <c r="S12" t="s">
        <v>104</v>
      </c>
    </row>
    <row r="13" spans="1:22" x14ac:dyDescent="0.2">
      <c r="A13" s="1">
        <v>44320</v>
      </c>
      <c r="B13" t="s">
        <v>7</v>
      </c>
      <c r="C13" t="s">
        <v>17</v>
      </c>
      <c r="D13">
        <v>78.13973</v>
      </c>
      <c r="E13">
        <v>16.15878</v>
      </c>
      <c r="F13" t="s">
        <v>44</v>
      </c>
      <c r="G13">
        <v>1100</v>
      </c>
      <c r="H13">
        <v>20</v>
      </c>
      <c r="K13">
        <f t="shared" si="0"/>
        <v>20</v>
      </c>
      <c r="L13" t="s">
        <v>29</v>
      </c>
      <c r="M13">
        <v>-5</v>
      </c>
      <c r="N13">
        <v>5.81</v>
      </c>
      <c r="O13">
        <v>4.8</v>
      </c>
      <c r="P13" t="s">
        <v>51</v>
      </c>
      <c r="Q13" t="s">
        <v>104</v>
      </c>
      <c r="R13" t="s">
        <v>61</v>
      </c>
      <c r="S13" t="s">
        <v>104</v>
      </c>
    </row>
    <row r="14" spans="1:22" x14ac:dyDescent="0.2">
      <c r="A14" s="1">
        <v>44320</v>
      </c>
      <c r="B14" t="s">
        <v>8</v>
      </c>
      <c r="C14" t="s">
        <v>18</v>
      </c>
      <c r="D14">
        <v>78.141289999999998</v>
      </c>
      <c r="E14">
        <v>16.156970000000001</v>
      </c>
      <c r="F14" t="s">
        <v>43</v>
      </c>
      <c r="G14">
        <v>2300</v>
      </c>
      <c r="H14">
        <v>100</v>
      </c>
      <c r="K14">
        <f t="shared" si="0"/>
        <v>100</v>
      </c>
      <c r="L14" t="s">
        <v>29</v>
      </c>
      <c r="M14">
        <v>-7</v>
      </c>
      <c r="N14">
        <v>5.76</v>
      </c>
      <c r="O14">
        <v>5.7</v>
      </c>
      <c r="P14">
        <v>2608</v>
      </c>
      <c r="Q14" t="s">
        <v>104</v>
      </c>
      <c r="R14" t="s">
        <v>61</v>
      </c>
      <c r="S14" t="s">
        <v>104</v>
      </c>
    </row>
    <row r="15" spans="1:22" x14ac:dyDescent="0.2">
      <c r="A15" s="1">
        <v>44320</v>
      </c>
      <c r="B15" t="s">
        <v>9</v>
      </c>
      <c r="C15" t="s">
        <v>18</v>
      </c>
      <c r="D15">
        <v>78.141289999999998</v>
      </c>
      <c r="E15">
        <v>16.156970000000001</v>
      </c>
      <c r="F15" t="s">
        <v>44</v>
      </c>
      <c r="G15">
        <v>1125</v>
      </c>
      <c r="H15">
        <v>20</v>
      </c>
      <c r="K15">
        <f t="shared" si="0"/>
        <v>20</v>
      </c>
      <c r="L15" t="s">
        <v>29</v>
      </c>
      <c r="M15">
        <v>-7</v>
      </c>
      <c r="N15">
        <v>5.85</v>
      </c>
      <c r="O15">
        <v>3</v>
      </c>
      <c r="P15" t="s">
        <v>51</v>
      </c>
      <c r="Q15" t="s">
        <v>104</v>
      </c>
      <c r="R15" t="s">
        <v>61</v>
      </c>
      <c r="S15" t="s">
        <v>104</v>
      </c>
    </row>
    <row r="16" spans="1:22" x14ac:dyDescent="0.2">
      <c r="A16" s="1">
        <v>44320</v>
      </c>
      <c r="B16" t="s">
        <v>11</v>
      </c>
      <c r="C16" t="s">
        <v>19</v>
      </c>
      <c r="D16">
        <v>78.141440000000003</v>
      </c>
      <c r="E16">
        <v>16.15924</v>
      </c>
      <c r="F16" t="s">
        <v>43</v>
      </c>
      <c r="G16">
        <v>1725</v>
      </c>
      <c r="H16">
        <v>90</v>
      </c>
      <c r="K16">
        <f t="shared" si="0"/>
        <v>90</v>
      </c>
      <c r="L16" t="s">
        <v>29</v>
      </c>
      <c r="M16">
        <v>-7</v>
      </c>
      <c r="N16">
        <v>6.15</v>
      </c>
      <c r="O16">
        <v>5.6</v>
      </c>
      <c r="P16">
        <v>2021</v>
      </c>
      <c r="Q16" t="s">
        <v>104</v>
      </c>
      <c r="R16" t="s">
        <v>61</v>
      </c>
      <c r="S16" t="s">
        <v>104</v>
      </c>
    </row>
    <row r="17" spans="1:19" x14ac:dyDescent="0.2">
      <c r="A17" s="1">
        <v>44320</v>
      </c>
      <c r="B17" t="s">
        <v>10</v>
      </c>
      <c r="C17" t="s">
        <v>19</v>
      </c>
      <c r="D17">
        <v>78.141440000000003</v>
      </c>
      <c r="E17">
        <v>16.15924</v>
      </c>
      <c r="F17" t="s">
        <v>44</v>
      </c>
      <c r="G17">
        <v>850</v>
      </c>
      <c r="H17">
        <v>20</v>
      </c>
      <c r="K17">
        <f t="shared" si="0"/>
        <v>20</v>
      </c>
      <c r="L17" t="s">
        <v>29</v>
      </c>
      <c r="M17">
        <v>-7</v>
      </c>
      <c r="N17">
        <v>6.65</v>
      </c>
      <c r="O17">
        <v>5.8</v>
      </c>
      <c r="P17" t="s">
        <v>51</v>
      </c>
      <c r="Q17" t="s">
        <v>104</v>
      </c>
      <c r="R17" t="s">
        <v>61</v>
      </c>
      <c r="S17" t="s">
        <v>104</v>
      </c>
    </row>
    <row r="18" spans="1:19" x14ac:dyDescent="0.2">
      <c r="A18" s="1">
        <v>44321</v>
      </c>
      <c r="B18" t="s">
        <v>30</v>
      </c>
      <c r="C18" t="s">
        <v>20</v>
      </c>
      <c r="D18">
        <v>78.142259999999993</v>
      </c>
      <c r="E18">
        <v>16.13991</v>
      </c>
      <c r="F18" t="s">
        <v>43</v>
      </c>
      <c r="G18">
        <v>2450</v>
      </c>
      <c r="H18">
        <v>100</v>
      </c>
      <c r="K18">
        <f t="shared" si="0"/>
        <v>100</v>
      </c>
      <c r="L18" t="s">
        <v>29</v>
      </c>
      <c r="M18">
        <v>-6.5</v>
      </c>
      <c r="N18">
        <v>5.74</v>
      </c>
      <c r="O18">
        <v>42.2</v>
      </c>
      <c r="P18">
        <v>2673</v>
      </c>
      <c r="Q18" t="s">
        <v>104</v>
      </c>
      <c r="R18" t="s">
        <v>61</v>
      </c>
      <c r="S18" t="s">
        <v>104</v>
      </c>
    </row>
    <row r="19" spans="1:19" x14ac:dyDescent="0.2">
      <c r="A19" s="1">
        <v>44321</v>
      </c>
      <c r="B19" t="s">
        <v>31</v>
      </c>
      <c r="C19" t="s">
        <v>20</v>
      </c>
      <c r="D19">
        <v>78.142259999999993</v>
      </c>
      <c r="E19">
        <v>16.13991</v>
      </c>
      <c r="F19" t="s">
        <v>44</v>
      </c>
      <c r="G19">
        <v>875</v>
      </c>
      <c r="H19">
        <v>20</v>
      </c>
      <c r="K19">
        <f t="shared" si="0"/>
        <v>20</v>
      </c>
      <c r="L19" t="s">
        <v>29</v>
      </c>
      <c r="M19">
        <v>-6.5</v>
      </c>
      <c r="N19">
        <v>6.05</v>
      </c>
      <c r="O19">
        <v>3.3</v>
      </c>
      <c r="P19">
        <v>1106</v>
      </c>
      <c r="Q19" t="s">
        <v>104</v>
      </c>
      <c r="R19" t="s">
        <v>61</v>
      </c>
      <c r="S19" t="s">
        <v>104</v>
      </c>
    </row>
    <row r="20" spans="1:19" x14ac:dyDescent="0.2">
      <c r="A20" s="1">
        <v>44321</v>
      </c>
      <c r="B20" t="s">
        <v>32</v>
      </c>
      <c r="C20" t="s">
        <v>21</v>
      </c>
      <c r="D20">
        <v>78.142399999999995</v>
      </c>
      <c r="E20">
        <v>16.142019999999999</v>
      </c>
      <c r="F20" t="s">
        <v>43</v>
      </c>
      <c r="G20">
        <v>2450</v>
      </c>
      <c r="H20">
        <v>109</v>
      </c>
      <c r="I20">
        <v>105</v>
      </c>
      <c r="J20">
        <v>104</v>
      </c>
      <c r="K20">
        <f t="shared" si="0"/>
        <v>106</v>
      </c>
      <c r="L20" t="s">
        <v>29</v>
      </c>
      <c r="M20">
        <v>-5.5</v>
      </c>
      <c r="N20">
        <v>6.57</v>
      </c>
      <c r="O20">
        <v>5.0999999999999996</v>
      </c>
      <c r="P20">
        <v>2689</v>
      </c>
      <c r="Q20" t="s">
        <v>104</v>
      </c>
      <c r="R20" t="s">
        <v>61</v>
      </c>
      <c r="S20" t="s">
        <v>104</v>
      </c>
    </row>
    <row r="21" spans="1:19" x14ac:dyDescent="0.2">
      <c r="A21" s="1">
        <v>44321</v>
      </c>
      <c r="B21" t="s">
        <v>33</v>
      </c>
      <c r="C21" t="s">
        <v>21</v>
      </c>
      <c r="D21">
        <v>78.142399999999995</v>
      </c>
      <c r="E21">
        <v>16.142019999999999</v>
      </c>
      <c r="F21" t="s">
        <v>44</v>
      </c>
      <c r="G21">
        <v>1100</v>
      </c>
      <c r="H21">
        <v>20</v>
      </c>
      <c r="K21">
        <f t="shared" si="0"/>
        <v>20</v>
      </c>
      <c r="L21" t="s">
        <v>29</v>
      </c>
      <c r="M21">
        <v>-5.5</v>
      </c>
      <c r="N21">
        <v>6.25</v>
      </c>
      <c r="O21">
        <v>2.4</v>
      </c>
      <c r="P21">
        <v>1313</v>
      </c>
      <c r="Q21" t="s">
        <v>104</v>
      </c>
      <c r="R21" t="s">
        <v>61</v>
      </c>
      <c r="S21" t="s">
        <v>104</v>
      </c>
    </row>
    <row r="22" spans="1:19" x14ac:dyDescent="0.2">
      <c r="A22" s="1">
        <v>44321</v>
      </c>
      <c r="B22" t="s">
        <v>34</v>
      </c>
      <c r="C22" t="s">
        <v>22</v>
      </c>
      <c r="D22">
        <v>78.144000000000005</v>
      </c>
      <c r="E22">
        <v>16.140160000000002</v>
      </c>
      <c r="F22" t="s">
        <v>43</v>
      </c>
      <c r="G22">
        <v>2550</v>
      </c>
      <c r="H22">
        <v>114</v>
      </c>
      <c r="I22">
        <v>114</v>
      </c>
      <c r="J22">
        <v>119</v>
      </c>
      <c r="K22">
        <f t="shared" si="0"/>
        <v>115.66666666666667</v>
      </c>
      <c r="L22" t="s">
        <v>29</v>
      </c>
      <c r="M22">
        <v>-6</v>
      </c>
      <c r="N22">
        <v>5.82</v>
      </c>
      <c r="O22">
        <v>6.8</v>
      </c>
      <c r="P22">
        <v>2954</v>
      </c>
      <c r="Q22" t="s">
        <v>104</v>
      </c>
      <c r="R22" t="s">
        <v>61</v>
      </c>
      <c r="S22" t="s">
        <v>104</v>
      </c>
    </row>
    <row r="23" spans="1:19" x14ac:dyDescent="0.2">
      <c r="A23" s="1">
        <v>44321</v>
      </c>
      <c r="B23" t="s">
        <v>36</v>
      </c>
      <c r="C23" t="s">
        <v>22</v>
      </c>
      <c r="D23">
        <v>78.144000000000005</v>
      </c>
      <c r="E23">
        <v>16.140160000000002</v>
      </c>
      <c r="F23" t="s">
        <v>44</v>
      </c>
      <c r="G23">
        <v>1250</v>
      </c>
      <c r="H23">
        <v>20</v>
      </c>
      <c r="K23">
        <f t="shared" si="0"/>
        <v>20</v>
      </c>
      <c r="L23" t="s">
        <v>29</v>
      </c>
      <c r="M23">
        <v>-6</v>
      </c>
      <c r="N23">
        <v>5.81</v>
      </c>
      <c r="O23">
        <v>2.5</v>
      </c>
      <c r="P23">
        <v>1411</v>
      </c>
      <c r="Q23" t="s">
        <v>104</v>
      </c>
      <c r="R23" t="s">
        <v>61</v>
      </c>
      <c r="S23" t="s">
        <v>104</v>
      </c>
    </row>
    <row r="24" spans="1:19" x14ac:dyDescent="0.2">
      <c r="A24" s="1">
        <v>44321</v>
      </c>
      <c r="B24" t="s">
        <v>35</v>
      </c>
      <c r="C24" t="s">
        <v>23</v>
      </c>
      <c r="D24">
        <v>78.144120000000001</v>
      </c>
      <c r="E24">
        <v>16.142299999999999</v>
      </c>
      <c r="F24" t="s">
        <v>43</v>
      </c>
      <c r="G24">
        <v>2000</v>
      </c>
      <c r="H24">
        <v>125</v>
      </c>
      <c r="I24">
        <v>124</v>
      </c>
      <c r="J24">
        <v>124</v>
      </c>
      <c r="K24">
        <f t="shared" si="0"/>
        <v>124.33333333333333</v>
      </c>
      <c r="L24" t="s">
        <v>29</v>
      </c>
      <c r="M24">
        <v>-6</v>
      </c>
      <c r="N24">
        <v>5.65</v>
      </c>
      <c r="O24">
        <v>6.3</v>
      </c>
      <c r="P24">
        <v>3642</v>
      </c>
      <c r="Q24" t="s">
        <v>104</v>
      </c>
      <c r="R24" t="s">
        <v>61</v>
      </c>
      <c r="S24" t="s">
        <v>104</v>
      </c>
    </row>
    <row r="25" spans="1:19" x14ac:dyDescent="0.2">
      <c r="A25" s="1">
        <v>44321</v>
      </c>
      <c r="B25" t="s">
        <v>37</v>
      </c>
      <c r="C25" t="s">
        <v>23</v>
      </c>
      <c r="D25">
        <v>78.144120000000001</v>
      </c>
      <c r="E25">
        <v>16.142299999999999</v>
      </c>
      <c r="F25" t="s">
        <v>44</v>
      </c>
      <c r="G25">
        <v>1100</v>
      </c>
      <c r="H25">
        <v>20</v>
      </c>
      <c r="K25">
        <f t="shared" si="0"/>
        <v>20</v>
      </c>
      <c r="L25" t="s">
        <v>29</v>
      </c>
      <c r="M25">
        <v>-6</v>
      </c>
      <c r="N25">
        <v>5.88</v>
      </c>
      <c r="O25">
        <v>2.6</v>
      </c>
      <c r="P25">
        <v>1328</v>
      </c>
      <c r="Q25" t="s">
        <v>104</v>
      </c>
      <c r="R25" t="s">
        <v>61</v>
      </c>
      <c r="S25" t="s">
        <v>104</v>
      </c>
    </row>
    <row r="26" spans="1:19" x14ac:dyDescent="0.2">
      <c r="A26" s="1">
        <v>44320</v>
      </c>
      <c r="B26" t="s">
        <v>48</v>
      </c>
      <c r="C26" t="s">
        <v>51</v>
      </c>
      <c r="D26" t="s">
        <v>51</v>
      </c>
      <c r="E26" t="s">
        <v>51</v>
      </c>
      <c r="F26" t="s">
        <v>150</v>
      </c>
      <c r="G26">
        <v>200</v>
      </c>
      <c r="H26" t="s">
        <v>51</v>
      </c>
      <c r="L26" t="s">
        <v>53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61</v>
      </c>
      <c r="S26" t="s">
        <v>104</v>
      </c>
    </row>
    <row r="27" spans="1:19" x14ac:dyDescent="0.2">
      <c r="A27" s="1">
        <v>44320</v>
      </c>
      <c r="B27" t="s">
        <v>49</v>
      </c>
      <c r="C27" t="s">
        <v>51</v>
      </c>
      <c r="D27" t="s">
        <v>51</v>
      </c>
      <c r="E27" t="s">
        <v>51</v>
      </c>
      <c r="F27" t="s">
        <v>150</v>
      </c>
      <c r="G27">
        <v>200</v>
      </c>
      <c r="H27" t="s">
        <v>51</v>
      </c>
      <c r="L27" t="s">
        <v>53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61</v>
      </c>
      <c r="S27" t="s">
        <v>104</v>
      </c>
    </row>
    <row r="28" spans="1:19" x14ac:dyDescent="0.2">
      <c r="A28" s="1">
        <v>44320</v>
      </c>
      <c r="B28" t="s">
        <v>50</v>
      </c>
      <c r="C28" t="s">
        <v>51</v>
      </c>
      <c r="D28" t="s">
        <v>51</v>
      </c>
      <c r="E28" t="s">
        <v>51</v>
      </c>
      <c r="F28" t="s">
        <v>150</v>
      </c>
      <c r="G28">
        <v>200</v>
      </c>
      <c r="H28" t="s">
        <v>51</v>
      </c>
      <c r="L28" t="s">
        <v>53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61</v>
      </c>
      <c r="S28" t="s">
        <v>104</v>
      </c>
    </row>
    <row r="29" spans="1:19" x14ac:dyDescent="0.2">
      <c r="A29" s="1">
        <v>44322</v>
      </c>
      <c r="B29" t="s">
        <v>38</v>
      </c>
      <c r="C29" s="2" t="s">
        <v>24</v>
      </c>
      <c r="D29" s="2">
        <v>78.139009999999999</v>
      </c>
      <c r="E29" s="2">
        <v>16.165590000000002</v>
      </c>
      <c r="F29" t="s">
        <v>43</v>
      </c>
      <c r="G29">
        <v>1000</v>
      </c>
      <c r="H29">
        <v>85</v>
      </c>
      <c r="I29">
        <v>83</v>
      </c>
      <c r="J29">
        <v>81</v>
      </c>
      <c r="K29">
        <f t="shared" si="0"/>
        <v>83</v>
      </c>
      <c r="L29" t="s">
        <v>29</v>
      </c>
      <c r="M29">
        <v>-5</v>
      </c>
      <c r="N29">
        <v>5.54</v>
      </c>
      <c r="O29">
        <v>182.9</v>
      </c>
      <c r="P29">
        <v>1674</v>
      </c>
      <c r="Q29" t="s">
        <v>104</v>
      </c>
      <c r="R29" t="s">
        <v>61</v>
      </c>
      <c r="S29" t="s">
        <v>104</v>
      </c>
    </row>
    <row r="30" spans="1:19" x14ac:dyDescent="0.2">
      <c r="A30" s="1">
        <v>44322</v>
      </c>
      <c r="B30" t="s">
        <v>39</v>
      </c>
      <c r="C30" s="2" t="s">
        <v>24</v>
      </c>
      <c r="D30" s="2">
        <v>78.139009999999999</v>
      </c>
      <c r="E30" s="2">
        <v>16.165590000000002</v>
      </c>
      <c r="F30" t="s">
        <v>44</v>
      </c>
      <c r="G30">
        <v>1225</v>
      </c>
      <c r="H30">
        <v>20</v>
      </c>
      <c r="K30">
        <f t="shared" si="0"/>
        <v>20</v>
      </c>
      <c r="L30" t="s">
        <v>29</v>
      </c>
      <c r="M30">
        <v>-5</v>
      </c>
      <c r="N30">
        <v>6.22</v>
      </c>
      <c r="O30">
        <v>9.3000000000000007</v>
      </c>
      <c r="P30">
        <v>894</v>
      </c>
      <c r="Q30" t="s">
        <v>104</v>
      </c>
      <c r="R30" t="s">
        <v>61</v>
      </c>
      <c r="S30" t="s">
        <v>104</v>
      </c>
    </row>
    <row r="31" spans="1:19" x14ac:dyDescent="0.2">
      <c r="A31" s="1">
        <v>44322</v>
      </c>
      <c r="B31" t="s">
        <v>40</v>
      </c>
      <c r="C31" s="2" t="s">
        <v>25</v>
      </c>
      <c r="D31" s="2">
        <v>78.139200000000002</v>
      </c>
      <c r="E31" s="2">
        <v>16.167770000000001</v>
      </c>
      <c r="F31" t="s">
        <v>43</v>
      </c>
      <c r="G31">
        <v>1500</v>
      </c>
      <c r="H31">
        <v>90</v>
      </c>
      <c r="I31">
        <v>85</v>
      </c>
      <c r="J31">
        <v>75</v>
      </c>
      <c r="K31">
        <f t="shared" si="0"/>
        <v>83.333333333333329</v>
      </c>
      <c r="L31" t="s">
        <v>29</v>
      </c>
      <c r="M31">
        <v>-6</v>
      </c>
      <c r="N31">
        <v>6.01</v>
      </c>
      <c r="O31">
        <v>8.6999999999999993</v>
      </c>
      <c r="P31">
        <v>2133</v>
      </c>
      <c r="Q31" t="s">
        <v>104</v>
      </c>
      <c r="R31" t="s">
        <v>61</v>
      </c>
      <c r="S31" t="s">
        <v>104</v>
      </c>
    </row>
    <row r="32" spans="1:19" x14ac:dyDescent="0.2">
      <c r="A32" s="1">
        <v>44322</v>
      </c>
      <c r="B32" t="s">
        <v>41</v>
      </c>
      <c r="C32" s="2" t="s">
        <v>25</v>
      </c>
      <c r="D32" s="2">
        <v>78.139200000000002</v>
      </c>
      <c r="E32" s="2">
        <v>16.167770000000001</v>
      </c>
      <c r="F32" t="s">
        <v>44</v>
      </c>
      <c r="G32">
        <v>650</v>
      </c>
      <c r="H32">
        <v>20</v>
      </c>
      <c r="K32">
        <f t="shared" si="0"/>
        <v>20</v>
      </c>
      <c r="L32" t="s">
        <v>29</v>
      </c>
      <c r="M32">
        <v>-6</v>
      </c>
      <c r="N32">
        <v>6</v>
      </c>
      <c r="O32">
        <v>3</v>
      </c>
      <c r="P32">
        <v>800</v>
      </c>
      <c r="Q32" t="s">
        <v>104</v>
      </c>
      <c r="R32" t="s">
        <v>61</v>
      </c>
      <c r="S32" t="s">
        <v>104</v>
      </c>
    </row>
    <row r="33" spans="1:19" x14ac:dyDescent="0.2">
      <c r="A33" s="1">
        <v>44322</v>
      </c>
      <c r="B33" t="s">
        <v>46</v>
      </c>
      <c r="C33" s="2" t="s">
        <v>26</v>
      </c>
      <c r="D33" s="2">
        <v>78.141720000000007</v>
      </c>
      <c r="E33" s="2">
        <v>16.14866</v>
      </c>
      <c r="F33" t="s">
        <v>43</v>
      </c>
      <c r="G33">
        <v>2000</v>
      </c>
      <c r="H33">
        <v>90</v>
      </c>
      <c r="I33">
        <v>93</v>
      </c>
      <c r="J33">
        <v>94</v>
      </c>
      <c r="K33">
        <f t="shared" si="0"/>
        <v>92.333333333333329</v>
      </c>
      <c r="L33" t="s">
        <v>29</v>
      </c>
      <c r="M33">
        <v>-9</v>
      </c>
      <c r="N33">
        <v>5.84</v>
      </c>
      <c r="O33">
        <v>4.3</v>
      </c>
      <c r="P33">
        <v>2811</v>
      </c>
      <c r="Q33" t="s">
        <v>104</v>
      </c>
      <c r="R33" t="s">
        <v>61</v>
      </c>
      <c r="S33" t="s">
        <v>104</v>
      </c>
    </row>
    <row r="34" spans="1:19" x14ac:dyDescent="0.2">
      <c r="A34" s="1">
        <v>44322</v>
      </c>
      <c r="B34" t="s">
        <v>42</v>
      </c>
      <c r="C34" s="2" t="s">
        <v>26</v>
      </c>
      <c r="D34" s="2">
        <v>78.141720000000007</v>
      </c>
      <c r="E34" s="2">
        <v>16.14866</v>
      </c>
      <c r="F34" t="s">
        <v>44</v>
      </c>
      <c r="G34">
        <v>1300</v>
      </c>
      <c r="H34">
        <v>20</v>
      </c>
      <c r="K34">
        <f t="shared" si="0"/>
        <v>20</v>
      </c>
      <c r="L34" t="s">
        <v>29</v>
      </c>
      <c r="M34">
        <v>-9</v>
      </c>
      <c r="N34">
        <v>5.71</v>
      </c>
      <c r="O34">
        <v>7.3</v>
      </c>
      <c r="P34">
        <v>928</v>
      </c>
      <c r="Q34" t="s">
        <v>104</v>
      </c>
      <c r="R34" t="s">
        <v>61</v>
      </c>
      <c r="S34" t="s">
        <v>104</v>
      </c>
    </row>
    <row r="35" spans="1:19" x14ac:dyDescent="0.2">
      <c r="A35" s="1">
        <v>44322</v>
      </c>
      <c r="B35" t="s">
        <v>45</v>
      </c>
      <c r="C35" s="2" t="s">
        <v>77</v>
      </c>
      <c r="D35" s="2">
        <v>78.141909999999996</v>
      </c>
      <c r="E35" s="2">
        <v>16.150580000000001</v>
      </c>
      <c r="F35" t="s">
        <v>43</v>
      </c>
      <c r="G35">
        <v>1800</v>
      </c>
      <c r="H35">
        <v>102</v>
      </c>
      <c r="I35">
        <v>104</v>
      </c>
      <c r="J35">
        <v>97</v>
      </c>
      <c r="K35">
        <f t="shared" si="0"/>
        <v>101</v>
      </c>
      <c r="L35" t="s">
        <v>29</v>
      </c>
      <c r="M35">
        <v>-8.5</v>
      </c>
      <c r="N35">
        <v>5.7</v>
      </c>
      <c r="O35">
        <v>6</v>
      </c>
      <c r="P35">
        <v>2180</v>
      </c>
      <c r="Q35" t="s">
        <v>104</v>
      </c>
      <c r="R35" t="s">
        <v>61</v>
      </c>
      <c r="S35" t="s">
        <v>104</v>
      </c>
    </row>
    <row r="36" spans="1:19" x14ac:dyDescent="0.2">
      <c r="A36" s="1">
        <v>44322</v>
      </c>
      <c r="B36" t="s">
        <v>80</v>
      </c>
      <c r="C36" s="2" t="s">
        <v>77</v>
      </c>
      <c r="D36" s="2">
        <v>78.141909999999996</v>
      </c>
      <c r="E36" s="2">
        <v>16.150580000000001</v>
      </c>
      <c r="F36" t="s">
        <v>44</v>
      </c>
      <c r="G36">
        <v>1450</v>
      </c>
      <c r="H36">
        <v>20</v>
      </c>
      <c r="K36">
        <v>20</v>
      </c>
      <c r="L36" t="s">
        <v>29</v>
      </c>
      <c r="M36">
        <v>-8.5</v>
      </c>
      <c r="N36">
        <v>5.78</v>
      </c>
      <c r="O36">
        <v>4.2</v>
      </c>
      <c r="P36">
        <v>1088</v>
      </c>
      <c r="Q36" t="s">
        <v>104</v>
      </c>
      <c r="R36" t="s">
        <v>61</v>
      </c>
      <c r="S36" t="s">
        <v>104</v>
      </c>
    </row>
    <row r="37" spans="1:19" x14ac:dyDescent="0.2">
      <c r="A37" s="1">
        <v>44322</v>
      </c>
      <c r="B37" t="s">
        <v>81</v>
      </c>
      <c r="C37" s="2" t="s">
        <v>78</v>
      </c>
      <c r="D37" s="2">
        <v>78.144490000000005</v>
      </c>
      <c r="E37" s="2">
        <v>16.131209999999999</v>
      </c>
      <c r="F37" t="s">
        <v>43</v>
      </c>
      <c r="G37">
        <v>2400</v>
      </c>
      <c r="H37">
        <v>118</v>
      </c>
      <c r="I37">
        <v>118</v>
      </c>
      <c r="J37">
        <v>110</v>
      </c>
      <c r="K37">
        <f t="shared" si="0"/>
        <v>115.33333333333333</v>
      </c>
      <c r="L37" t="s">
        <v>29</v>
      </c>
      <c r="M37">
        <v>-6.5</v>
      </c>
      <c r="N37">
        <v>5.53</v>
      </c>
      <c r="O37">
        <v>7.5</v>
      </c>
      <c r="P37">
        <v>2696</v>
      </c>
      <c r="Q37" t="s">
        <v>104</v>
      </c>
      <c r="R37" t="s">
        <v>61</v>
      </c>
      <c r="S37" t="s">
        <v>104</v>
      </c>
    </row>
    <row r="38" spans="1:19" x14ac:dyDescent="0.2">
      <c r="A38" s="1">
        <v>44322</v>
      </c>
      <c r="B38" t="s">
        <v>82</v>
      </c>
      <c r="C38" s="2" t="s">
        <v>78</v>
      </c>
      <c r="D38" s="2">
        <v>78.144490000000005</v>
      </c>
      <c r="E38" s="2">
        <v>16.131209999999999</v>
      </c>
      <c r="F38" t="s">
        <v>44</v>
      </c>
      <c r="G38">
        <v>900</v>
      </c>
      <c r="H38">
        <v>20</v>
      </c>
      <c r="K38">
        <v>20</v>
      </c>
      <c r="L38" t="s">
        <v>29</v>
      </c>
      <c r="M38">
        <v>-6.5</v>
      </c>
      <c r="N38">
        <v>5.47</v>
      </c>
      <c r="O38">
        <v>3.8</v>
      </c>
      <c r="P38">
        <v>1018</v>
      </c>
      <c r="Q38" t="s">
        <v>104</v>
      </c>
      <c r="R38" t="s">
        <v>61</v>
      </c>
      <c r="S38" t="s">
        <v>104</v>
      </c>
    </row>
    <row r="39" spans="1:19" x14ac:dyDescent="0.2">
      <c r="A39" s="1">
        <v>44322</v>
      </c>
      <c r="B39" t="s">
        <v>83</v>
      </c>
      <c r="C39" s="2" t="s">
        <v>79</v>
      </c>
      <c r="D39" s="2">
        <v>78.144630000000006</v>
      </c>
      <c r="E39" s="2">
        <v>16.133330000000001</v>
      </c>
      <c r="F39" t="s">
        <v>43</v>
      </c>
      <c r="G39">
        <v>2500</v>
      </c>
      <c r="H39">
        <v>126</v>
      </c>
      <c r="I39">
        <v>123</v>
      </c>
      <c r="J39">
        <v>129</v>
      </c>
      <c r="K39">
        <f t="shared" si="0"/>
        <v>126</v>
      </c>
      <c r="L39" t="s">
        <v>29</v>
      </c>
      <c r="M39">
        <v>-8</v>
      </c>
      <c r="N39">
        <v>5.5</v>
      </c>
      <c r="O39">
        <v>14.5</v>
      </c>
      <c r="P39">
        <v>3106</v>
      </c>
      <c r="Q39" t="s">
        <v>104</v>
      </c>
      <c r="R39" t="s">
        <v>61</v>
      </c>
      <c r="S39" t="s">
        <v>104</v>
      </c>
    </row>
    <row r="40" spans="1:19" x14ac:dyDescent="0.2">
      <c r="A40" s="1">
        <v>44322</v>
      </c>
      <c r="B40" t="s">
        <v>84</v>
      </c>
      <c r="C40" s="2" t="s">
        <v>79</v>
      </c>
      <c r="D40" s="2">
        <v>78.144630000000006</v>
      </c>
      <c r="E40" s="2">
        <v>16.133330000000001</v>
      </c>
      <c r="F40" t="s">
        <v>44</v>
      </c>
      <c r="G40">
        <v>1350</v>
      </c>
      <c r="H40">
        <v>20</v>
      </c>
      <c r="K40">
        <v>20</v>
      </c>
      <c r="L40" t="s">
        <v>29</v>
      </c>
      <c r="M40">
        <v>-8</v>
      </c>
      <c r="N40">
        <v>5.66</v>
      </c>
      <c r="O40">
        <v>2.5</v>
      </c>
      <c r="P40">
        <v>1049</v>
      </c>
      <c r="Q40" t="s">
        <v>104</v>
      </c>
      <c r="R40" t="s">
        <v>61</v>
      </c>
      <c r="S40" t="s">
        <v>104</v>
      </c>
    </row>
    <row r="41" spans="1:19" x14ac:dyDescent="0.2">
      <c r="A41" s="1">
        <v>44323</v>
      </c>
      <c r="B41" t="s">
        <v>103</v>
      </c>
      <c r="C41" s="2" t="s">
        <v>99</v>
      </c>
      <c r="D41" s="2">
        <v>78.130120000000005</v>
      </c>
      <c r="E41" s="2">
        <v>16.16281</v>
      </c>
      <c r="L41" t="s">
        <v>116</v>
      </c>
      <c r="N41">
        <v>6.82</v>
      </c>
      <c r="O41">
        <v>7.8</v>
      </c>
    </row>
    <row r="42" spans="1:19" x14ac:dyDescent="0.2">
      <c r="A42" s="1">
        <v>44323</v>
      </c>
      <c r="B42" t="s">
        <v>117</v>
      </c>
      <c r="C42" s="2" t="s">
        <v>99</v>
      </c>
      <c r="D42" s="2">
        <v>78.130120000000005</v>
      </c>
      <c r="E42" s="2">
        <v>16.16281</v>
      </c>
      <c r="L42" t="s">
        <v>116</v>
      </c>
      <c r="N42">
        <v>6.04</v>
      </c>
      <c r="O42">
        <v>11</v>
      </c>
    </row>
    <row r="43" spans="1:19" x14ac:dyDescent="0.2">
      <c r="A43" s="1">
        <v>44323</v>
      </c>
      <c r="B43" t="s">
        <v>118</v>
      </c>
      <c r="C43" s="2" t="s">
        <v>111</v>
      </c>
      <c r="D43" s="2">
        <v>78.130120000000005</v>
      </c>
      <c r="E43" s="2">
        <v>16.164999999999999</v>
      </c>
      <c r="L43" t="s">
        <v>116</v>
      </c>
      <c r="N43">
        <v>7.85</v>
      </c>
      <c r="O43">
        <v>10.5</v>
      </c>
    </row>
    <row r="44" spans="1:19" x14ac:dyDescent="0.2">
      <c r="A44" s="1">
        <v>44323</v>
      </c>
      <c r="B44" t="s">
        <v>119</v>
      </c>
      <c r="C44" s="2" t="s">
        <v>111</v>
      </c>
      <c r="D44" s="2">
        <v>78.130120000000005</v>
      </c>
      <c r="E44" s="2">
        <v>16.164999999999999</v>
      </c>
      <c r="L44" t="s">
        <v>116</v>
      </c>
      <c r="N44">
        <v>6.45</v>
      </c>
      <c r="O44">
        <v>11.3</v>
      </c>
    </row>
    <row r="45" spans="1:19" x14ac:dyDescent="0.2">
      <c r="A45" s="1">
        <v>44323</v>
      </c>
      <c r="B45" t="s">
        <v>120</v>
      </c>
      <c r="C45" s="2" t="s">
        <v>112</v>
      </c>
      <c r="D45" s="2">
        <v>78.128280000000004</v>
      </c>
      <c r="E45" s="2">
        <v>16.163730000000001</v>
      </c>
      <c r="L45" t="s">
        <v>116</v>
      </c>
      <c r="N45">
        <v>6.7</v>
      </c>
      <c r="O45">
        <v>5.4</v>
      </c>
      <c r="P45" t="s">
        <v>141</v>
      </c>
    </row>
    <row r="46" spans="1:19" x14ac:dyDescent="0.2">
      <c r="A46" s="1">
        <v>44323</v>
      </c>
      <c r="B46" t="s">
        <v>121</v>
      </c>
      <c r="C46" s="2" t="s">
        <v>112</v>
      </c>
      <c r="D46" s="2">
        <v>78.128280000000004</v>
      </c>
      <c r="E46" s="2">
        <v>16.163730000000001</v>
      </c>
      <c r="L46" t="s">
        <v>116</v>
      </c>
      <c r="N46">
        <v>8.06</v>
      </c>
      <c r="O46">
        <v>2.7</v>
      </c>
    </row>
    <row r="47" spans="1:19" x14ac:dyDescent="0.2">
      <c r="A47" s="1">
        <v>44323</v>
      </c>
      <c r="B47" t="s">
        <v>122</v>
      </c>
      <c r="C47" s="2" t="s">
        <v>113</v>
      </c>
      <c r="D47" s="2">
        <v>78.128399999999999</v>
      </c>
      <c r="E47" s="2">
        <v>16.16582</v>
      </c>
      <c r="L47" t="s">
        <v>116</v>
      </c>
      <c r="N47">
        <v>6.78</v>
      </c>
      <c r="O47">
        <v>5.5</v>
      </c>
    </row>
    <row r="48" spans="1:19" x14ac:dyDescent="0.2">
      <c r="A48" s="1">
        <v>44323</v>
      </c>
      <c r="B48" t="s">
        <v>123</v>
      </c>
      <c r="C48" s="2" t="s">
        <v>113</v>
      </c>
      <c r="D48" s="2">
        <v>78.128399999999999</v>
      </c>
      <c r="E48" s="2">
        <v>16.16582</v>
      </c>
      <c r="L48" t="s">
        <v>116</v>
      </c>
      <c r="N48">
        <v>6.84</v>
      </c>
      <c r="O48">
        <v>4.5</v>
      </c>
    </row>
    <row r="49" spans="1:15" x14ac:dyDescent="0.2">
      <c r="A49" s="1">
        <v>44323</v>
      </c>
      <c r="B49" t="s">
        <v>124</v>
      </c>
      <c r="C49" s="2" t="s">
        <v>114</v>
      </c>
      <c r="D49" s="2">
        <v>78.126630000000006</v>
      </c>
      <c r="E49" s="2">
        <v>16.167549999999999</v>
      </c>
      <c r="L49" t="s">
        <v>116</v>
      </c>
      <c r="N49">
        <v>6.74</v>
      </c>
      <c r="O49">
        <v>6.7</v>
      </c>
    </row>
    <row r="50" spans="1:15" x14ac:dyDescent="0.2">
      <c r="A50" s="1">
        <v>44323</v>
      </c>
      <c r="B50" t="s">
        <v>125</v>
      </c>
      <c r="C50" s="2" t="s">
        <v>114</v>
      </c>
      <c r="D50" s="2">
        <v>78.126630000000006</v>
      </c>
      <c r="E50" s="2">
        <v>16.167549999999999</v>
      </c>
      <c r="L50" t="s">
        <v>116</v>
      </c>
      <c r="N50">
        <v>6.53</v>
      </c>
      <c r="O50">
        <v>3.8</v>
      </c>
    </row>
    <row r="51" spans="1:15" x14ac:dyDescent="0.2">
      <c r="A51" s="1">
        <v>44323</v>
      </c>
      <c r="B51" t="s">
        <v>126</v>
      </c>
      <c r="C51" s="2" t="s">
        <v>115</v>
      </c>
      <c r="D51" s="2">
        <v>78.126829999999998</v>
      </c>
      <c r="E51" s="2">
        <v>16.169699999999999</v>
      </c>
      <c r="L51" t="s">
        <v>116</v>
      </c>
      <c r="N51">
        <v>6.86</v>
      </c>
      <c r="O51">
        <v>6.4</v>
      </c>
    </row>
    <row r="52" spans="1:15" x14ac:dyDescent="0.2">
      <c r="A52" s="1">
        <v>44323</v>
      </c>
      <c r="B52" t="s">
        <v>127</v>
      </c>
      <c r="C52" s="2" t="s">
        <v>115</v>
      </c>
      <c r="D52" s="2">
        <v>78.126829999999998</v>
      </c>
      <c r="E52" s="2">
        <v>16.169699999999999</v>
      </c>
      <c r="L52" t="s">
        <v>116</v>
      </c>
      <c r="N52">
        <v>6.71</v>
      </c>
      <c r="O52">
        <v>3.2</v>
      </c>
    </row>
    <row r="53" spans="1:15" x14ac:dyDescent="0.2">
      <c r="A53" s="1">
        <v>44322</v>
      </c>
      <c r="B53" t="s">
        <v>73</v>
      </c>
      <c r="C53" s="2" t="s">
        <v>51</v>
      </c>
      <c r="D53" s="2" t="s">
        <v>51</v>
      </c>
      <c r="E53" s="2" t="s">
        <v>51</v>
      </c>
      <c r="F53" t="s">
        <v>128</v>
      </c>
      <c r="L53" t="s">
        <v>29</v>
      </c>
    </row>
    <row r="54" spans="1:15" x14ac:dyDescent="0.2">
      <c r="A54" s="1">
        <v>44322</v>
      </c>
      <c r="B54" t="s">
        <v>74</v>
      </c>
      <c r="C54" s="2" t="s">
        <v>51</v>
      </c>
      <c r="D54" s="2" t="s">
        <v>51</v>
      </c>
      <c r="E54" s="2" t="s">
        <v>51</v>
      </c>
      <c r="F54" t="s">
        <v>129</v>
      </c>
      <c r="L54" t="s">
        <v>29</v>
      </c>
    </row>
    <row r="55" spans="1:15" x14ac:dyDescent="0.2">
      <c r="B55" t="s">
        <v>142</v>
      </c>
      <c r="F55" t="s">
        <v>145</v>
      </c>
    </row>
    <row r="56" spans="1:15" x14ac:dyDescent="0.2">
      <c r="B56" t="s">
        <v>143</v>
      </c>
      <c r="F56" t="s">
        <v>144</v>
      </c>
    </row>
    <row r="57" spans="1:15" x14ac:dyDescent="0.2">
      <c r="B57" t="s">
        <v>148</v>
      </c>
      <c r="F57" t="s">
        <v>146</v>
      </c>
    </row>
    <row r="58" spans="1:15" x14ac:dyDescent="0.2">
      <c r="B58" t="s">
        <v>149</v>
      </c>
      <c r="F58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A1F0-4259-2240-9538-78396171068F}">
  <dimension ref="A1:D2"/>
  <sheetViews>
    <sheetView workbookViewId="0">
      <selection activeCell="E28" sqref="E28"/>
    </sheetView>
  </sheetViews>
  <sheetFormatPr baseColWidth="10" defaultRowHeight="16" x14ac:dyDescent="0.2"/>
  <cols>
    <col min="2" max="2" width="26.33203125" bestFit="1" customWidth="1"/>
  </cols>
  <sheetData>
    <row r="1" spans="1:4" x14ac:dyDescent="0.2">
      <c r="A1" t="s">
        <v>139</v>
      </c>
    </row>
    <row r="2" spans="1:4" x14ac:dyDescent="0.2">
      <c r="A2" t="s">
        <v>137</v>
      </c>
      <c r="B2" t="s">
        <v>138</v>
      </c>
      <c r="D2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69F1-38C9-D04B-916C-5B03CAC4301E}">
  <dimension ref="A1:O44"/>
  <sheetViews>
    <sheetView topLeftCell="A19" workbookViewId="0">
      <selection activeCell="E21" sqref="E21"/>
    </sheetView>
  </sheetViews>
  <sheetFormatPr baseColWidth="10" defaultRowHeight="16" x14ac:dyDescent="0.2"/>
  <cols>
    <col min="1" max="2" width="31.5" bestFit="1" customWidth="1"/>
    <col min="4" max="4" width="24.1640625" bestFit="1" customWidth="1"/>
    <col min="5" max="6" width="24.1640625" customWidth="1"/>
    <col min="7" max="7" width="14.5" customWidth="1"/>
    <col min="9" max="9" width="17.6640625" bestFit="1" customWidth="1"/>
    <col min="11" max="13" width="13.6640625" bestFit="1" customWidth="1"/>
    <col min="14" max="15" width="13" bestFit="1" customWidth="1"/>
  </cols>
  <sheetData>
    <row r="1" spans="1:15" x14ac:dyDescent="0.2">
      <c r="A1" t="s">
        <v>94</v>
      </c>
      <c r="B1" t="s">
        <v>0</v>
      </c>
      <c r="C1" t="s">
        <v>89</v>
      </c>
      <c r="D1" t="s">
        <v>85</v>
      </c>
      <c r="H1" t="s">
        <v>86</v>
      </c>
      <c r="K1" t="s">
        <v>47</v>
      </c>
      <c r="L1" t="s">
        <v>87</v>
      </c>
      <c r="M1" t="s">
        <v>88</v>
      </c>
      <c r="N1" t="s">
        <v>58</v>
      </c>
      <c r="O1" t="s">
        <v>92</v>
      </c>
    </row>
    <row r="2" spans="1:15" x14ac:dyDescent="0.2">
      <c r="A2" t="s">
        <v>24</v>
      </c>
      <c r="B2" t="s">
        <v>90</v>
      </c>
      <c r="C2" t="s">
        <v>51</v>
      </c>
      <c r="D2" t="s">
        <v>51</v>
      </c>
      <c r="H2" t="s">
        <v>51</v>
      </c>
      <c r="K2" t="s">
        <v>51</v>
      </c>
      <c r="L2" t="s">
        <v>51</v>
      </c>
      <c r="M2" t="s">
        <v>51</v>
      </c>
      <c r="N2" t="s">
        <v>51</v>
      </c>
      <c r="O2" t="s">
        <v>93</v>
      </c>
    </row>
    <row r="3" spans="1:15" x14ac:dyDescent="0.2">
      <c r="A3" t="s">
        <v>24</v>
      </c>
      <c r="B3" t="s">
        <v>91</v>
      </c>
      <c r="C3" t="s">
        <v>51</v>
      </c>
      <c r="D3" t="s">
        <v>51</v>
      </c>
      <c r="H3" t="s">
        <v>51</v>
      </c>
      <c r="K3" t="s">
        <v>51</v>
      </c>
      <c r="L3" t="s">
        <v>51</v>
      </c>
      <c r="M3" t="s">
        <v>51</v>
      </c>
      <c r="N3" t="s">
        <v>51</v>
      </c>
      <c r="O3" t="s">
        <v>93</v>
      </c>
    </row>
    <row r="4" spans="1:15" x14ac:dyDescent="0.2">
      <c r="A4" t="s">
        <v>25</v>
      </c>
      <c r="B4" t="s">
        <v>95</v>
      </c>
      <c r="C4" t="s">
        <v>43</v>
      </c>
      <c r="D4" t="s">
        <v>51</v>
      </c>
      <c r="H4" t="s">
        <v>51</v>
      </c>
      <c r="K4" t="s">
        <v>51</v>
      </c>
      <c r="L4" t="s">
        <v>51</v>
      </c>
      <c r="M4" t="s">
        <v>51</v>
      </c>
    </row>
    <row r="5" spans="1:15" x14ac:dyDescent="0.2">
      <c r="A5" t="s">
        <v>25</v>
      </c>
      <c r="B5" t="s">
        <v>96</v>
      </c>
      <c r="C5" t="s">
        <v>44</v>
      </c>
      <c r="D5" t="s">
        <v>51</v>
      </c>
      <c r="H5" t="s">
        <v>51</v>
      </c>
      <c r="K5" t="s">
        <v>51</v>
      </c>
      <c r="L5" t="s">
        <v>51</v>
      </c>
      <c r="M5" t="s">
        <v>51</v>
      </c>
    </row>
    <row r="6" spans="1:15" x14ac:dyDescent="0.2">
      <c r="A6" t="s">
        <v>26</v>
      </c>
      <c r="B6" t="s">
        <v>95</v>
      </c>
      <c r="C6" t="s">
        <v>43</v>
      </c>
      <c r="D6" t="s">
        <v>51</v>
      </c>
      <c r="H6" t="s">
        <v>51</v>
      </c>
      <c r="K6" t="s">
        <v>51</v>
      </c>
      <c r="L6" t="s">
        <v>51</v>
      </c>
      <c r="M6" t="s">
        <v>51</v>
      </c>
    </row>
    <row r="7" spans="1:15" x14ac:dyDescent="0.2">
      <c r="A7" t="s">
        <v>26</v>
      </c>
      <c r="B7" t="s">
        <v>96</v>
      </c>
      <c r="C7" t="s">
        <v>44</v>
      </c>
      <c r="D7" t="s">
        <v>51</v>
      </c>
      <c r="H7" t="s">
        <v>51</v>
      </c>
      <c r="K7" t="s">
        <v>51</v>
      </c>
      <c r="L7" t="s">
        <v>51</v>
      </c>
      <c r="M7" t="s">
        <v>51</v>
      </c>
    </row>
    <row r="8" spans="1:15" x14ac:dyDescent="0.2">
      <c r="A8" t="s">
        <v>77</v>
      </c>
      <c r="B8" t="s">
        <v>95</v>
      </c>
      <c r="C8" t="s">
        <v>43</v>
      </c>
      <c r="D8" t="s">
        <v>51</v>
      </c>
      <c r="H8" t="s">
        <v>51</v>
      </c>
      <c r="K8" t="s">
        <v>51</v>
      </c>
      <c r="L8" t="s">
        <v>51</v>
      </c>
      <c r="M8" t="s">
        <v>51</v>
      </c>
    </row>
    <row r="9" spans="1:15" x14ac:dyDescent="0.2">
      <c r="A9" t="s">
        <v>77</v>
      </c>
      <c r="B9" t="s">
        <v>96</v>
      </c>
      <c r="C9" t="s">
        <v>44</v>
      </c>
      <c r="D9" t="s">
        <v>51</v>
      </c>
      <c r="H9" t="s">
        <v>51</v>
      </c>
      <c r="K9" t="s">
        <v>51</v>
      </c>
      <c r="L9" t="s">
        <v>51</v>
      </c>
      <c r="M9" t="s">
        <v>51</v>
      </c>
    </row>
    <row r="10" spans="1:15" x14ac:dyDescent="0.2">
      <c r="A10" t="s">
        <v>78</v>
      </c>
      <c r="B10" t="s">
        <v>95</v>
      </c>
      <c r="C10" t="s">
        <v>43</v>
      </c>
      <c r="D10" t="s">
        <v>51</v>
      </c>
      <c r="H10" t="s">
        <v>51</v>
      </c>
      <c r="K10" t="s">
        <v>51</v>
      </c>
      <c r="L10" t="s">
        <v>51</v>
      </c>
      <c r="M10" t="s">
        <v>51</v>
      </c>
    </row>
    <row r="11" spans="1:15" x14ac:dyDescent="0.2">
      <c r="A11" t="s">
        <v>78</v>
      </c>
      <c r="B11" t="s">
        <v>96</v>
      </c>
      <c r="C11" t="s">
        <v>44</v>
      </c>
      <c r="D11" t="s">
        <v>51</v>
      </c>
      <c r="H11" t="s">
        <v>51</v>
      </c>
      <c r="K11" t="s">
        <v>51</v>
      </c>
      <c r="L11" t="s">
        <v>51</v>
      </c>
      <c r="M11" t="s">
        <v>51</v>
      </c>
    </row>
    <row r="12" spans="1:15" x14ac:dyDescent="0.2">
      <c r="A12" t="s">
        <v>79</v>
      </c>
      <c r="B12" t="s">
        <v>95</v>
      </c>
      <c r="C12" t="s">
        <v>43</v>
      </c>
      <c r="D12" t="s">
        <v>51</v>
      </c>
      <c r="H12" t="s">
        <v>51</v>
      </c>
      <c r="K12" t="s">
        <v>51</v>
      </c>
      <c r="L12" t="s">
        <v>51</v>
      </c>
      <c r="M12" t="s">
        <v>51</v>
      </c>
    </row>
    <row r="13" spans="1:15" x14ac:dyDescent="0.2">
      <c r="A13" t="s">
        <v>79</v>
      </c>
      <c r="B13" t="s">
        <v>96</v>
      </c>
      <c r="C13" t="s">
        <v>44</v>
      </c>
      <c r="D13" t="s">
        <v>51</v>
      </c>
      <c r="H13" t="s">
        <v>51</v>
      </c>
      <c r="K13" t="s">
        <v>51</v>
      </c>
      <c r="L13" t="s">
        <v>51</v>
      </c>
      <c r="M13" t="s">
        <v>51</v>
      </c>
    </row>
    <row r="14" spans="1:15" x14ac:dyDescent="0.2">
      <c r="A14" t="s">
        <v>78</v>
      </c>
      <c r="B14" t="s">
        <v>97</v>
      </c>
      <c r="C14" t="s">
        <v>43</v>
      </c>
    </row>
    <row r="15" spans="1:15" x14ac:dyDescent="0.2">
      <c r="A15" t="s">
        <v>78</v>
      </c>
      <c r="B15" t="s">
        <v>98</v>
      </c>
      <c r="C15" t="s">
        <v>43</v>
      </c>
    </row>
    <row r="16" spans="1:15" x14ac:dyDescent="0.2">
      <c r="A16" t="s">
        <v>79</v>
      </c>
      <c r="B16" t="s">
        <v>83</v>
      </c>
      <c r="C16" t="s">
        <v>43</v>
      </c>
    </row>
    <row r="17" spans="1:14" x14ac:dyDescent="0.2">
      <c r="A17" t="s">
        <v>79</v>
      </c>
      <c r="B17" t="s">
        <v>100</v>
      </c>
      <c r="C17" t="s">
        <v>43</v>
      </c>
    </row>
    <row r="20" spans="1:14" x14ac:dyDescent="0.2">
      <c r="D20" t="s">
        <v>101</v>
      </c>
      <c r="E20" t="s">
        <v>109</v>
      </c>
      <c r="F20" t="s">
        <v>110</v>
      </c>
      <c r="G20" t="s">
        <v>106</v>
      </c>
      <c r="H20" t="s">
        <v>105</v>
      </c>
      <c r="I20" t="s">
        <v>107</v>
      </c>
      <c r="J20" t="s">
        <v>69</v>
      </c>
      <c r="K20" t="s">
        <v>87</v>
      </c>
      <c r="L20" t="s">
        <v>58</v>
      </c>
      <c r="M20" t="s">
        <v>59</v>
      </c>
      <c r="N20" t="s">
        <v>108</v>
      </c>
    </row>
    <row r="21" spans="1:14" x14ac:dyDescent="0.2">
      <c r="A21" t="s">
        <v>24</v>
      </c>
      <c r="B21" t="s">
        <v>38</v>
      </c>
      <c r="C21" t="s">
        <v>43</v>
      </c>
      <c r="D21" t="s">
        <v>102</v>
      </c>
      <c r="L21" t="s">
        <v>51</v>
      </c>
    </row>
    <row r="22" spans="1:14" x14ac:dyDescent="0.2">
      <c r="A22" t="s">
        <v>24</v>
      </c>
      <c r="B22" t="s">
        <v>38</v>
      </c>
      <c r="C22" t="s">
        <v>43</v>
      </c>
      <c r="D22" t="s">
        <v>58</v>
      </c>
      <c r="G22" t="s">
        <v>51</v>
      </c>
      <c r="H22" t="s">
        <v>51</v>
      </c>
      <c r="I22" t="s">
        <v>51</v>
      </c>
      <c r="J22" t="s">
        <v>51</v>
      </c>
      <c r="K22" t="s">
        <v>51</v>
      </c>
      <c r="M22" t="s">
        <v>51</v>
      </c>
      <c r="N22" t="s">
        <v>51</v>
      </c>
    </row>
    <row r="23" spans="1:14" x14ac:dyDescent="0.2">
      <c r="A23" t="s">
        <v>24</v>
      </c>
      <c r="B23" t="s">
        <v>39</v>
      </c>
      <c r="C23" t="s">
        <v>44</v>
      </c>
      <c r="D23" t="s">
        <v>102</v>
      </c>
      <c r="L23" t="s">
        <v>51</v>
      </c>
    </row>
    <row r="24" spans="1:14" x14ac:dyDescent="0.2">
      <c r="A24" t="s">
        <v>24</v>
      </c>
      <c r="B24" t="s">
        <v>39</v>
      </c>
      <c r="C24" t="s">
        <v>44</v>
      </c>
      <c r="D24" t="s">
        <v>58</v>
      </c>
      <c r="G24" t="s">
        <v>51</v>
      </c>
      <c r="H24" t="s">
        <v>51</v>
      </c>
      <c r="I24" t="s">
        <v>51</v>
      </c>
      <c r="J24" t="s">
        <v>51</v>
      </c>
      <c r="K24" t="s">
        <v>51</v>
      </c>
      <c r="M24" t="s">
        <v>51</v>
      </c>
      <c r="N24" t="s">
        <v>51</v>
      </c>
    </row>
    <row r="25" spans="1:14" x14ac:dyDescent="0.2">
      <c r="A25" t="s">
        <v>25</v>
      </c>
      <c r="B25" t="s">
        <v>40</v>
      </c>
      <c r="C25" t="s">
        <v>43</v>
      </c>
      <c r="D25" t="s">
        <v>102</v>
      </c>
      <c r="L25" t="s">
        <v>51</v>
      </c>
    </row>
    <row r="26" spans="1:14" x14ac:dyDescent="0.2">
      <c r="A26" t="s">
        <v>25</v>
      </c>
      <c r="B26" t="s">
        <v>40</v>
      </c>
      <c r="C26" t="s">
        <v>43</v>
      </c>
      <c r="D26" t="s">
        <v>58</v>
      </c>
      <c r="G26" t="s">
        <v>51</v>
      </c>
      <c r="H26" t="s">
        <v>51</v>
      </c>
      <c r="I26" t="s">
        <v>51</v>
      </c>
      <c r="J26" t="s">
        <v>51</v>
      </c>
      <c r="K26" t="s">
        <v>51</v>
      </c>
      <c r="M26" t="s">
        <v>51</v>
      </c>
      <c r="N26" t="s">
        <v>51</v>
      </c>
    </row>
    <row r="27" spans="1:14" x14ac:dyDescent="0.2">
      <c r="A27" t="s">
        <v>25</v>
      </c>
      <c r="B27" t="s">
        <v>41</v>
      </c>
      <c r="C27" t="s">
        <v>44</v>
      </c>
      <c r="D27" t="s">
        <v>102</v>
      </c>
      <c r="L27" t="s">
        <v>51</v>
      </c>
    </row>
    <row r="28" spans="1:14" x14ac:dyDescent="0.2">
      <c r="A28" t="s">
        <v>25</v>
      </c>
      <c r="B28" t="s">
        <v>41</v>
      </c>
      <c r="C28" t="s">
        <v>44</v>
      </c>
      <c r="D28" t="s">
        <v>58</v>
      </c>
      <c r="G28" t="s">
        <v>51</v>
      </c>
      <c r="H28" t="s">
        <v>51</v>
      </c>
      <c r="I28" t="s">
        <v>51</v>
      </c>
      <c r="J28" t="s">
        <v>51</v>
      </c>
      <c r="K28" t="s">
        <v>51</v>
      </c>
      <c r="M28" t="s">
        <v>51</v>
      </c>
      <c r="N28" t="s">
        <v>51</v>
      </c>
    </row>
    <row r="29" spans="1:14" x14ac:dyDescent="0.2">
      <c r="A29" t="s">
        <v>26</v>
      </c>
      <c r="B29" t="s">
        <v>46</v>
      </c>
      <c r="C29" t="s">
        <v>43</v>
      </c>
      <c r="D29" t="s">
        <v>102</v>
      </c>
      <c r="L29" t="s">
        <v>51</v>
      </c>
    </row>
    <row r="30" spans="1:14" x14ac:dyDescent="0.2">
      <c r="A30" t="s">
        <v>26</v>
      </c>
      <c r="B30" t="s">
        <v>46</v>
      </c>
      <c r="C30" t="s">
        <v>43</v>
      </c>
      <c r="D30" t="s">
        <v>58</v>
      </c>
      <c r="G30" t="s">
        <v>51</v>
      </c>
      <c r="H30" t="s">
        <v>51</v>
      </c>
      <c r="I30" t="s">
        <v>51</v>
      </c>
      <c r="J30" t="s">
        <v>51</v>
      </c>
      <c r="K30" t="s">
        <v>51</v>
      </c>
      <c r="M30" t="s">
        <v>51</v>
      </c>
      <c r="N30" t="s">
        <v>51</v>
      </c>
    </row>
    <row r="31" spans="1:14" x14ac:dyDescent="0.2">
      <c r="A31" t="s">
        <v>26</v>
      </c>
      <c r="B31" t="s">
        <v>42</v>
      </c>
      <c r="C31" t="s">
        <v>44</v>
      </c>
      <c r="D31" t="s">
        <v>102</v>
      </c>
      <c r="L31" t="s">
        <v>51</v>
      </c>
    </row>
    <row r="32" spans="1:14" x14ac:dyDescent="0.2">
      <c r="A32" t="s">
        <v>26</v>
      </c>
      <c r="B32" t="s">
        <v>42</v>
      </c>
      <c r="C32" t="s">
        <v>44</v>
      </c>
      <c r="D32" t="s">
        <v>58</v>
      </c>
      <c r="G32" t="s">
        <v>51</v>
      </c>
      <c r="H32" t="s">
        <v>51</v>
      </c>
      <c r="I32" t="s">
        <v>51</v>
      </c>
      <c r="J32" t="s">
        <v>51</v>
      </c>
      <c r="K32" t="s">
        <v>51</v>
      </c>
      <c r="M32" t="s">
        <v>51</v>
      </c>
      <c r="N32" t="s">
        <v>51</v>
      </c>
    </row>
    <row r="33" spans="1:14" x14ac:dyDescent="0.2">
      <c r="A33" t="s">
        <v>77</v>
      </c>
      <c r="B33" t="s">
        <v>45</v>
      </c>
      <c r="C33" t="s">
        <v>43</v>
      </c>
      <c r="D33" t="s">
        <v>102</v>
      </c>
      <c r="L33" t="s">
        <v>51</v>
      </c>
    </row>
    <row r="34" spans="1:14" x14ac:dyDescent="0.2">
      <c r="A34" t="s">
        <v>77</v>
      </c>
      <c r="B34" t="s">
        <v>45</v>
      </c>
      <c r="C34" t="s">
        <v>43</v>
      </c>
      <c r="D34" t="s">
        <v>58</v>
      </c>
      <c r="G34" t="s">
        <v>51</v>
      </c>
      <c r="H34" t="s">
        <v>51</v>
      </c>
      <c r="I34" t="s">
        <v>51</v>
      </c>
      <c r="J34" t="s">
        <v>51</v>
      </c>
      <c r="K34" t="s">
        <v>51</v>
      </c>
      <c r="M34" t="s">
        <v>51</v>
      </c>
      <c r="N34" t="s">
        <v>51</v>
      </c>
    </row>
    <row r="35" spans="1:14" x14ac:dyDescent="0.2">
      <c r="A35" t="s">
        <v>77</v>
      </c>
      <c r="B35" t="s">
        <v>80</v>
      </c>
      <c r="C35" t="s">
        <v>44</v>
      </c>
      <c r="D35" t="s">
        <v>102</v>
      </c>
      <c r="L35" t="s">
        <v>51</v>
      </c>
    </row>
    <row r="36" spans="1:14" x14ac:dyDescent="0.2">
      <c r="A36" t="s">
        <v>77</v>
      </c>
      <c r="B36" t="s">
        <v>80</v>
      </c>
      <c r="C36" t="s">
        <v>44</v>
      </c>
      <c r="D36" t="s">
        <v>58</v>
      </c>
      <c r="G36" t="s">
        <v>51</v>
      </c>
      <c r="H36" t="s">
        <v>51</v>
      </c>
      <c r="I36" t="s">
        <v>51</v>
      </c>
      <c r="J36" t="s">
        <v>51</v>
      </c>
      <c r="K36" t="s">
        <v>51</v>
      </c>
      <c r="M36" t="s">
        <v>51</v>
      </c>
      <c r="N36" t="s">
        <v>51</v>
      </c>
    </row>
    <row r="37" spans="1:14" x14ac:dyDescent="0.2">
      <c r="A37" t="s">
        <v>78</v>
      </c>
      <c r="B37" t="s">
        <v>81</v>
      </c>
      <c r="C37" t="s">
        <v>43</v>
      </c>
      <c r="D37" t="s">
        <v>102</v>
      </c>
      <c r="E37" t="s">
        <v>104</v>
      </c>
      <c r="F37" t="s">
        <v>104</v>
      </c>
      <c r="G37" t="s">
        <v>104</v>
      </c>
      <c r="J37">
        <v>2696</v>
      </c>
      <c r="K37" t="s">
        <v>104</v>
      </c>
      <c r="L37" t="s">
        <v>51</v>
      </c>
    </row>
    <row r="38" spans="1:14" x14ac:dyDescent="0.2">
      <c r="A38" t="s">
        <v>78</v>
      </c>
      <c r="B38" t="s">
        <v>81</v>
      </c>
      <c r="C38" t="s">
        <v>43</v>
      </c>
      <c r="D38" t="s">
        <v>58</v>
      </c>
      <c r="G38" t="s">
        <v>51</v>
      </c>
      <c r="H38" t="s">
        <v>51</v>
      </c>
      <c r="I38" t="s">
        <v>51</v>
      </c>
      <c r="J38" t="s">
        <v>51</v>
      </c>
      <c r="K38" t="s">
        <v>51</v>
      </c>
      <c r="M38" t="s">
        <v>51</v>
      </c>
      <c r="N38" t="s">
        <v>51</v>
      </c>
    </row>
    <row r="39" spans="1:14" x14ac:dyDescent="0.2">
      <c r="A39" t="s">
        <v>78</v>
      </c>
      <c r="B39" t="s">
        <v>82</v>
      </c>
      <c r="C39" t="s">
        <v>44</v>
      </c>
      <c r="D39" t="s">
        <v>102</v>
      </c>
      <c r="L39" t="s">
        <v>51</v>
      </c>
    </row>
    <row r="40" spans="1:14" x14ac:dyDescent="0.2">
      <c r="A40" t="s">
        <v>78</v>
      </c>
      <c r="B40" t="s">
        <v>82</v>
      </c>
      <c r="C40" t="s">
        <v>44</v>
      </c>
      <c r="D40" t="s">
        <v>58</v>
      </c>
      <c r="G40" t="s">
        <v>51</v>
      </c>
      <c r="H40" t="s">
        <v>51</v>
      </c>
      <c r="I40" t="s">
        <v>51</v>
      </c>
      <c r="J40" t="s">
        <v>51</v>
      </c>
      <c r="K40" t="s">
        <v>51</v>
      </c>
      <c r="M40" t="s">
        <v>51</v>
      </c>
      <c r="N40" t="s">
        <v>51</v>
      </c>
    </row>
    <row r="41" spans="1:14" x14ac:dyDescent="0.2">
      <c r="A41" t="s">
        <v>79</v>
      </c>
      <c r="B41" t="s">
        <v>83</v>
      </c>
      <c r="C41" t="s">
        <v>43</v>
      </c>
      <c r="D41" t="s">
        <v>102</v>
      </c>
      <c r="E41" t="s">
        <v>104</v>
      </c>
      <c r="F41" t="s">
        <v>104</v>
      </c>
      <c r="G41" t="s">
        <v>104</v>
      </c>
      <c r="K41" t="s">
        <v>104</v>
      </c>
      <c r="L41" t="s">
        <v>51</v>
      </c>
    </row>
    <row r="42" spans="1:14" x14ac:dyDescent="0.2">
      <c r="A42" t="s">
        <v>79</v>
      </c>
      <c r="B42" t="s">
        <v>83</v>
      </c>
      <c r="C42" t="s">
        <v>43</v>
      </c>
      <c r="D42" t="s">
        <v>58</v>
      </c>
      <c r="G42" t="s">
        <v>51</v>
      </c>
      <c r="H42" t="s">
        <v>51</v>
      </c>
      <c r="I42" t="s">
        <v>51</v>
      </c>
      <c r="J42" t="s">
        <v>51</v>
      </c>
      <c r="K42" t="s">
        <v>51</v>
      </c>
      <c r="M42" t="s">
        <v>51</v>
      </c>
      <c r="N42" t="s">
        <v>51</v>
      </c>
    </row>
    <row r="43" spans="1:14" x14ac:dyDescent="0.2">
      <c r="A43" t="s">
        <v>79</v>
      </c>
      <c r="B43" t="s">
        <v>84</v>
      </c>
      <c r="C43" t="s">
        <v>44</v>
      </c>
      <c r="D43" t="s">
        <v>102</v>
      </c>
      <c r="J43">
        <v>3106</v>
      </c>
      <c r="L43" t="s">
        <v>51</v>
      </c>
    </row>
    <row r="44" spans="1:14" x14ac:dyDescent="0.2">
      <c r="A44" t="s">
        <v>79</v>
      </c>
      <c r="B44" t="s">
        <v>84</v>
      </c>
      <c r="C44" t="s">
        <v>44</v>
      </c>
      <c r="D44" t="s">
        <v>58</v>
      </c>
      <c r="G44" t="s">
        <v>51</v>
      </c>
      <c r="H44" t="s">
        <v>51</v>
      </c>
      <c r="I44" t="s">
        <v>51</v>
      </c>
      <c r="J44" t="s">
        <v>51</v>
      </c>
      <c r="K44" t="s">
        <v>51</v>
      </c>
      <c r="M44" t="s">
        <v>51</v>
      </c>
      <c r="N44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BBF5-7C1D-B948-8CE0-1627DC18E553}">
  <dimension ref="A1:B2"/>
  <sheetViews>
    <sheetView workbookViewId="0">
      <selection activeCell="B7" sqref="B7"/>
    </sheetView>
  </sheetViews>
  <sheetFormatPr baseColWidth="10" defaultRowHeight="16" x14ac:dyDescent="0.2"/>
  <cols>
    <col min="1" max="1" width="11.5" bestFit="1" customWidth="1"/>
    <col min="2" max="2" width="36.1640625" bestFit="1" customWidth="1"/>
  </cols>
  <sheetData>
    <row r="1" spans="1:2" x14ac:dyDescent="0.2">
      <c r="A1" t="s">
        <v>56</v>
      </c>
      <c r="B1" t="s">
        <v>57</v>
      </c>
    </row>
    <row r="2" spans="1:2" x14ac:dyDescent="0.2">
      <c r="A2" t="s">
        <v>70</v>
      </c>
      <c r="B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PMA</vt:lpstr>
      <vt:lpstr>Sheet3</vt:lpstr>
      <vt:lpstr>Additional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Bo Tinky Solman</dc:creator>
  <cp:lastModifiedBy>Amy Bo Tinky Solman</cp:lastModifiedBy>
  <dcterms:created xsi:type="dcterms:W3CDTF">2021-05-04T16:10:35Z</dcterms:created>
  <dcterms:modified xsi:type="dcterms:W3CDTF">2021-05-09T06:43:49Z</dcterms:modified>
</cp:coreProperties>
</file>